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Uandes\10mo_semestre\01-PIH\Caso-3-PIH\"/>
    </mc:Choice>
  </mc:AlternateContent>
  <xr:revisionPtr revIDLastSave="0" documentId="13_ncr:1_{9CA02E21-339D-443A-BC57-7B158889CB38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" i="1" l="1"/>
  <c r="P17" i="1"/>
  <c r="P15" i="1"/>
  <c r="N15" i="1"/>
  <c r="N16" i="1"/>
  <c r="N17" i="1"/>
  <c r="N18" i="1"/>
  <c r="N19" i="1"/>
  <c r="N20" i="1"/>
  <c r="N21" i="1"/>
  <c r="N14" i="1"/>
</calcChain>
</file>

<file path=xl/sharedStrings.xml><?xml version="1.0" encoding="utf-8"?>
<sst xmlns="http://schemas.openxmlformats.org/spreadsheetml/2006/main" count="23" uniqueCount="21">
  <si>
    <t>Tranque Ovejería</t>
  </si>
  <si>
    <t>Estanque inicio</t>
  </si>
  <si>
    <t>Entrada tunel 3</t>
  </si>
  <si>
    <t>Salida Túnel 3</t>
  </si>
  <si>
    <t>Estanque de Proceso</t>
  </si>
  <si>
    <t>Obras</t>
  </si>
  <si>
    <t>lat</t>
  </si>
  <si>
    <t>long</t>
  </si>
  <si>
    <t>Entrada tunel 2</t>
  </si>
  <si>
    <t>Salida Túnel 2</t>
  </si>
  <si>
    <t>Entrada tunel 1</t>
  </si>
  <si>
    <t>Salida Túnel 1</t>
  </si>
  <si>
    <t>Altura (msnm)</t>
  </si>
  <si>
    <t>item</t>
  </si>
  <si>
    <t>Largo rutas (km)</t>
  </si>
  <si>
    <t>tramo</t>
  </si>
  <si>
    <t>dif cotas (m)</t>
  </si>
  <si>
    <t>Cantidad de bombas</t>
  </si>
  <si>
    <t>Head producido</t>
  </si>
  <si>
    <t>Altura estacion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</si>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</sst>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180975</xdr:colOff>
      <xdr:row>16</xdr:row>
      <xdr:rowOff>179147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22E64F8-8AF8-6607-8675-C6D93AC07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57775" cy="32347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K2:R21"/>
  <sheetViews>
    <sheetView tabSelected="1" topLeftCell="L16" workbookViewId="0">
      <selection activeCell="P22" sqref="P22"/>
    </sheetView>
  </sheetViews>
  <sheetFormatPr baseColWidth="10" defaultColWidth="9.109375" defaultRowHeight="14.4" x14ac:dyDescent="0.3"/>
  <cols>
    <col min="11" max="11" width="10.6640625" customWidth="1"/>
    <col min="12" max="12" width="11.6640625" bestFit="1" customWidth="1"/>
    <col min="13" max="13" width="12.33203125" customWidth="1"/>
    <col min="14" max="14" width="10" customWidth="1"/>
    <col min="16" max="16" width="13.6640625" customWidth="1"/>
    <col min="17" max="17" width="19.88671875" customWidth="1"/>
    <col min="18" max="18" width="15.109375" customWidth="1"/>
  </cols>
  <sheetData>
    <row r="2" spans="11:18" x14ac:dyDescent="0.3">
      <c r="K2" s="1" t="s">
        <v>13</v>
      </c>
      <c r="L2" s="3" t="s">
        <v>5</v>
      </c>
      <c r="M2" s="3"/>
      <c r="N2" s="1" t="s">
        <v>6</v>
      </c>
      <c r="O2" s="1" t="s">
        <v>7</v>
      </c>
      <c r="P2" s="1" t="s">
        <v>12</v>
      </c>
    </row>
    <row r="3" spans="11:18" x14ac:dyDescent="0.3">
      <c r="K3" s="1">
        <v>1</v>
      </c>
      <c r="L3" s="3" t="s">
        <v>0</v>
      </c>
      <c r="M3" s="3"/>
      <c r="N3" s="1">
        <v>-33.042386699227102</v>
      </c>
      <c r="O3" s="1">
        <v>-70.796355598391401</v>
      </c>
      <c r="P3" s="1">
        <v>629</v>
      </c>
    </row>
    <row r="4" spans="11:18" x14ac:dyDescent="0.3">
      <c r="K4" s="1">
        <v>2</v>
      </c>
      <c r="L4" s="3" t="s">
        <v>1</v>
      </c>
      <c r="M4" s="3"/>
      <c r="N4" s="1">
        <v>-33.023753212368902</v>
      </c>
      <c r="O4" s="1">
        <v>-70.802068887308394</v>
      </c>
      <c r="P4" s="1">
        <v>745</v>
      </c>
    </row>
    <row r="5" spans="11:18" x14ac:dyDescent="0.3">
      <c r="K5" s="1">
        <v>3</v>
      </c>
      <c r="L5" s="3" t="s">
        <v>2</v>
      </c>
      <c r="M5" s="3"/>
      <c r="N5" s="1">
        <v>-33.012242217397898</v>
      </c>
      <c r="O5" s="1">
        <v>-70.555633069018398</v>
      </c>
      <c r="P5" s="1">
        <v>1590</v>
      </c>
    </row>
    <row r="6" spans="11:18" x14ac:dyDescent="0.3">
      <c r="K6" s="1">
        <v>4</v>
      </c>
      <c r="L6" s="3" t="s">
        <v>3</v>
      </c>
      <c r="M6" s="3"/>
      <c r="N6" s="1">
        <v>-33.0212572545814</v>
      </c>
      <c r="O6" s="1">
        <v>-70.526746568916906</v>
      </c>
      <c r="P6" s="1">
        <v>1626</v>
      </c>
    </row>
    <row r="7" spans="11:18" x14ac:dyDescent="0.3">
      <c r="K7" s="1">
        <v>5</v>
      </c>
      <c r="L7" s="3" t="s">
        <v>8</v>
      </c>
      <c r="M7" s="3"/>
      <c r="N7" s="1">
        <v>-33.008822656145902</v>
      </c>
      <c r="O7" s="1">
        <v>-70.446259856799102</v>
      </c>
      <c r="P7" s="1">
        <v>2247</v>
      </c>
    </row>
    <row r="8" spans="11:18" x14ac:dyDescent="0.3">
      <c r="K8" s="1">
        <v>6</v>
      </c>
      <c r="L8" s="3" t="s">
        <v>9</v>
      </c>
      <c r="M8" s="3"/>
      <c r="N8" s="1">
        <v>-32.999147117580101</v>
      </c>
      <c r="O8" s="1">
        <v>-70.354427250500393</v>
      </c>
      <c r="P8" s="1">
        <v>2372</v>
      </c>
    </row>
    <row r="9" spans="11:18" x14ac:dyDescent="0.3">
      <c r="K9" s="1">
        <v>7</v>
      </c>
      <c r="L9" s="3" t="s">
        <v>10</v>
      </c>
      <c r="M9" s="3"/>
      <c r="N9" s="1">
        <v>-32.998216654150703</v>
      </c>
      <c r="O9" s="1">
        <v>-70.351234126787304</v>
      </c>
      <c r="P9" s="1">
        <v>2354</v>
      </c>
    </row>
    <row r="10" spans="11:18" x14ac:dyDescent="0.3">
      <c r="K10" s="1">
        <v>8</v>
      </c>
      <c r="L10" s="3" t="s">
        <v>11</v>
      </c>
      <c r="M10" s="3"/>
      <c r="N10" s="1">
        <v>-33.038514515488501</v>
      </c>
      <c r="O10" s="1">
        <v>-70.256352060177903</v>
      </c>
      <c r="P10" s="1">
        <v>2524</v>
      </c>
    </row>
    <row r="11" spans="11:18" x14ac:dyDescent="0.3">
      <c r="K11" s="1">
        <v>9</v>
      </c>
      <c r="L11" s="3" t="s">
        <v>4</v>
      </c>
      <c r="M11" s="3"/>
      <c r="N11" s="1">
        <v>-33.091426608919903</v>
      </c>
      <c r="O11" s="1">
        <v>-70.257714927772497</v>
      </c>
      <c r="P11" s="1">
        <v>2899</v>
      </c>
    </row>
    <row r="13" spans="11:18" x14ac:dyDescent="0.3">
      <c r="K13" s="1" t="s">
        <v>15</v>
      </c>
      <c r="L13" s="3" t="s">
        <v>14</v>
      </c>
      <c r="M13" s="3"/>
      <c r="N13" s="3" t="s">
        <v>16</v>
      </c>
      <c r="O13" s="3"/>
      <c r="P13" s="1" t="s">
        <v>19</v>
      </c>
      <c r="Q13" s="1" t="s">
        <v>17</v>
      </c>
      <c r="R13" s="1" t="s">
        <v>18</v>
      </c>
    </row>
    <row r="14" spans="11:18" x14ac:dyDescent="0.3">
      <c r="K14" s="1">
        <v>1.2</v>
      </c>
      <c r="L14" s="3">
        <v>1.63</v>
      </c>
      <c r="M14" s="3"/>
      <c r="N14" s="3">
        <f>P4-P3</f>
        <v>116</v>
      </c>
      <c r="O14" s="3"/>
      <c r="P14" s="2" t="s">
        <v>20</v>
      </c>
      <c r="Q14" s="2" t="s">
        <v>20</v>
      </c>
      <c r="R14" s="2" t="s">
        <v>20</v>
      </c>
    </row>
    <row r="15" spans="11:18" x14ac:dyDescent="0.3">
      <c r="K15" s="1">
        <v>2.2999999999999998</v>
      </c>
      <c r="L15" s="3">
        <v>23</v>
      </c>
      <c r="M15" s="3"/>
      <c r="N15" s="3">
        <f t="shared" ref="N15:N21" si="0">P5-P4</f>
        <v>845</v>
      </c>
      <c r="O15" s="3"/>
      <c r="P15" s="4">
        <f>(N15+N16)*1.05</f>
        <v>925.05000000000007</v>
      </c>
      <c r="Q15" s="4">
        <v>7</v>
      </c>
      <c r="R15" s="3">
        <v>930</v>
      </c>
    </row>
    <row r="16" spans="11:18" x14ac:dyDescent="0.3">
      <c r="K16" s="1">
        <v>3.4</v>
      </c>
      <c r="L16" s="3">
        <v>2.87</v>
      </c>
      <c r="M16" s="3"/>
      <c r="N16" s="3">
        <f t="shared" si="0"/>
        <v>36</v>
      </c>
      <c r="O16" s="3"/>
      <c r="P16" s="4"/>
      <c r="Q16" s="4"/>
      <c r="R16" s="3"/>
    </row>
    <row r="17" spans="11:18" x14ac:dyDescent="0.3">
      <c r="K17" s="1">
        <v>4.5</v>
      </c>
      <c r="L17" s="3">
        <v>7.84</v>
      </c>
      <c r="M17" s="3"/>
      <c r="N17" s="3">
        <f t="shared" si="0"/>
        <v>621</v>
      </c>
      <c r="O17" s="3"/>
      <c r="P17" s="4">
        <f>(N17+N18)*1.1</f>
        <v>820.6</v>
      </c>
      <c r="Q17" s="4">
        <v>4</v>
      </c>
      <c r="R17" s="3">
        <v>840</v>
      </c>
    </row>
    <row r="18" spans="11:18" x14ac:dyDescent="0.3">
      <c r="K18" s="1">
        <v>5.6</v>
      </c>
      <c r="L18" s="3">
        <v>8.67</v>
      </c>
      <c r="M18" s="3"/>
      <c r="N18" s="3">
        <f t="shared" si="0"/>
        <v>125</v>
      </c>
      <c r="O18" s="3"/>
      <c r="P18" s="4"/>
      <c r="Q18" s="4"/>
      <c r="R18" s="3"/>
    </row>
    <row r="19" spans="11:18" x14ac:dyDescent="0.3">
      <c r="K19" s="1">
        <v>6.7</v>
      </c>
      <c r="L19" s="3">
        <v>0.32</v>
      </c>
      <c r="M19" s="3"/>
      <c r="N19" s="3">
        <f t="shared" si="0"/>
        <v>-18</v>
      </c>
      <c r="O19" s="3"/>
      <c r="P19" s="4">
        <f>(N19+N20+N21)*1.1</f>
        <v>579.70000000000005</v>
      </c>
      <c r="Q19" s="4">
        <v>3</v>
      </c>
      <c r="R19" s="3">
        <v>657</v>
      </c>
    </row>
    <row r="20" spans="11:18" x14ac:dyDescent="0.3">
      <c r="K20" s="1">
        <v>7.8</v>
      </c>
      <c r="L20" s="3">
        <v>9.9</v>
      </c>
      <c r="M20" s="3"/>
      <c r="N20" s="3">
        <f t="shared" si="0"/>
        <v>170</v>
      </c>
      <c r="O20" s="3"/>
      <c r="P20" s="4"/>
      <c r="Q20" s="4"/>
      <c r="R20" s="3"/>
    </row>
    <row r="21" spans="11:18" x14ac:dyDescent="0.3">
      <c r="K21" s="1">
        <v>8.9</v>
      </c>
      <c r="L21" s="3">
        <v>5.87</v>
      </c>
      <c r="M21" s="3"/>
      <c r="N21" s="3">
        <f t="shared" si="0"/>
        <v>375</v>
      </c>
      <c r="O21" s="3"/>
      <c r="P21" s="4"/>
      <c r="Q21" s="4"/>
      <c r="R21" s="3"/>
    </row>
  </sheetData>
  <mergeCells count="37">
    <mergeCell ref="R15:R16"/>
    <mergeCell ref="R17:R18"/>
    <mergeCell ref="R19:R21"/>
    <mergeCell ref="P15:P16"/>
    <mergeCell ref="P17:P18"/>
    <mergeCell ref="P19:P21"/>
    <mergeCell ref="Q15:Q16"/>
    <mergeCell ref="Q17:Q18"/>
    <mergeCell ref="Q19:Q21"/>
    <mergeCell ref="L21:M21"/>
    <mergeCell ref="L20:M20"/>
    <mergeCell ref="L19:M19"/>
    <mergeCell ref="L18:M18"/>
    <mergeCell ref="L17:M17"/>
    <mergeCell ref="L5:M5"/>
    <mergeCell ref="L4:M4"/>
    <mergeCell ref="L3:M3"/>
    <mergeCell ref="L2:M2"/>
    <mergeCell ref="L13:M13"/>
    <mergeCell ref="L11:M11"/>
    <mergeCell ref="L10:M10"/>
    <mergeCell ref="L9:M9"/>
    <mergeCell ref="L8:M8"/>
    <mergeCell ref="L7:M7"/>
    <mergeCell ref="L6:M6"/>
    <mergeCell ref="N21:O21"/>
    <mergeCell ref="N20:O20"/>
    <mergeCell ref="N19:O19"/>
    <mergeCell ref="N18:O18"/>
    <mergeCell ref="N17:O17"/>
    <mergeCell ref="N14:O14"/>
    <mergeCell ref="N13:O13"/>
    <mergeCell ref="L16:M16"/>
    <mergeCell ref="L15:M15"/>
    <mergeCell ref="L14:M14"/>
    <mergeCell ref="N16:O16"/>
    <mergeCell ref="N15:O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CAPRILE</dc:creator>
  <cp:lastModifiedBy>BERNARDO CAPRILE</cp:lastModifiedBy>
  <dcterms:created xsi:type="dcterms:W3CDTF">2015-06-05T18:19:34Z</dcterms:created>
  <dcterms:modified xsi:type="dcterms:W3CDTF">2025-11-13T15:02:40Z</dcterms:modified>
</cp:coreProperties>
</file>